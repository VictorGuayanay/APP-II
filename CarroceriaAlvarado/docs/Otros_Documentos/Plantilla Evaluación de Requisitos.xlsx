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V:\8vo\Aplicaciones II\"/>
    </mc:Choice>
  </mc:AlternateContent>
  <xr:revisionPtr revIDLastSave="0" documentId="13_ncr:1_{36E8A7F9-2484-4845-A8C5-07F5D60C3A25}" xr6:coauthVersionLast="47" xr6:coauthVersionMax="47" xr10:uidLastSave="{00000000-0000-0000-0000-000000000000}"/>
  <bookViews>
    <workbookView xWindow="-108" yWindow="-108" windowWidth="23256" windowHeight="12456" xr2:uid="{883F0078-C74E-435C-847F-B73EF87EA4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1" l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 l="1"/>
</calcChain>
</file>

<file path=xl/sharedStrings.xml><?xml version="1.0" encoding="utf-8"?>
<sst xmlns="http://schemas.openxmlformats.org/spreadsheetml/2006/main" count="82" uniqueCount="82">
  <si>
    <t>Requisito</t>
  </si>
  <si>
    <t>Accurate, or correct*</t>
  </si>
  <si>
    <t>Atomic</t>
  </si>
  <si>
    <t>Complete*</t>
  </si>
  <si>
    <t>Concise</t>
  </si>
  <si>
    <t>Consistent*</t>
  </si>
  <si>
    <t>Does not conflict with other requirements</t>
  </si>
  <si>
    <t>Does not duplicate with other requirements</t>
  </si>
  <si>
    <t>Independent</t>
  </si>
  <si>
    <t>Prioritized*</t>
  </si>
  <si>
    <t>Realistic</t>
  </si>
  <si>
    <t>Traceable*</t>
  </si>
  <si>
    <t>Traced to a source</t>
  </si>
  <si>
    <t>Unambiguous*</t>
  </si>
  <si>
    <t>Understandable by stakeholders</t>
  </si>
  <si>
    <t>Unique</t>
  </si>
  <si>
    <t>Verifiable*</t>
  </si>
  <si>
    <t>PLANTILLA DE EVALUACIÓN DE REQUISITOS</t>
  </si>
  <si>
    <t>Proyecto evaluado:</t>
  </si>
  <si>
    <t>Autor(es) del proyecto:</t>
  </si>
  <si>
    <t>Evaluado por:</t>
  </si>
  <si>
    <t>Criterios de evaluación (IEEE standard 830-1998)</t>
  </si>
  <si>
    <t>Escala:             4 = Completamente de acuerdo         3 = De acuerdo       2 = Neutro       1 = Desacuerdo un poco        0 = Desacuerdo totalmente</t>
  </si>
  <si>
    <t>TOTAL
 (/60)</t>
  </si>
  <si>
    <t>PROMEDIO GENERAL</t>
  </si>
  <si>
    <t>REQUISITOS FALTANTES</t>
  </si>
  <si>
    <t>REQUISITOS</t>
  </si>
  <si>
    <t>JUSTIFICACIÓN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</si>
  <si>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</si>
  <si>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</si>
  <si>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</si>
  <si>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</si>
  <si>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</si>
  <si>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</si>
  <si>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</si>
  <si>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</si>
  <si>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</si>
  <si>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</si>
  <si>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</si>
  <si>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</si>
  <si>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</si>
  <si>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</si>
  <si>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</si>
  <si>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</si>
  <si>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</si>
  <si>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</si>
  <si>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REQ-1</t>
  </si>
  <si>
    <t>REQ-2</t>
  </si>
  <si>
    <t>REQ-3</t>
  </si>
  <si>
    <t>REQ-4</t>
  </si>
  <si>
    <t>REQ-5</t>
  </si>
  <si>
    <t>REQ-6</t>
  </si>
  <si>
    <t>REQ-7</t>
  </si>
  <si>
    <t>REQ-8</t>
  </si>
  <si>
    <t>REQ-9</t>
  </si>
  <si>
    <t>REQ-10</t>
  </si>
  <si>
    <t>REQ-11</t>
  </si>
  <si>
    <t>REQ-12</t>
  </si>
  <si>
    <t>REQ-13</t>
  </si>
  <si>
    <t>REQ-14</t>
  </si>
  <si>
    <t>RNF - 4</t>
  </si>
  <si>
    <t>RNF - 1</t>
  </si>
  <si>
    <t>RNF - 2</t>
  </si>
  <si>
    <t>RNF - 3</t>
  </si>
  <si>
    <t>RNF - 5</t>
  </si>
  <si>
    <t>RNF - 6</t>
  </si>
  <si>
    <t>RNF - 7</t>
  </si>
  <si>
    <t>RNF - 8</t>
  </si>
  <si>
    <t>RNF - 9</t>
  </si>
  <si>
    <t>APLICACIÓN WEB CON INTELIGENCIA ARTIFICIAL PARA LA GESTIÓN DE TRANSPORTE PESADO EN VOLECE.CA</t>
  </si>
  <si>
    <t>ALEX VALLEJO</t>
  </si>
  <si>
    <t>VICTOR GUAYANAY</t>
  </si>
  <si>
    <t>Recuperación de contraseña</t>
  </si>
  <si>
    <t>Mejora la experiencia del usuario y es crucial para accesibilidad y continuidad de acceso.</t>
  </si>
  <si>
    <t xml:space="preserve">Control de sesiones activas	</t>
  </si>
  <si>
    <t>Incrementa la seguridad evitando accesos paralelos no deseados.</t>
  </si>
  <si>
    <t xml:space="preserve">Buscador de solicitudes y reportes	</t>
  </si>
  <si>
    <t>Facilita el uso eficiente del sistema por parte de los administradores y usuarios frecuentes.</t>
  </si>
  <si>
    <t xml:space="preserve">Tolerancia a fallos	</t>
  </si>
  <si>
    <t>Garantiza robustez, disponibilidad y experiencia de usuario incluso ante fallos técnicos.</t>
  </si>
  <si>
    <t xml:space="preserve">Accesibilidad	</t>
  </si>
  <si>
    <t>Asegura que usuarios con discapacidades puedan usar la plataforma sin barreras.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</si>
</sst>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2" fontId="1" fillId="0" borderId="5" xfId="0" applyNumberFormat="1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246B8F-6842-416A-B1B9-4B8C7E4F904F}" name="Tabla2" displayName="Tabla2" ref="B10:S35" totalsRowShown="0" headerRowDxfId="19" tableBorderDxfId="18">
  <autoFilter ref="B10:S35" xr:uid="{56246B8F-6842-416A-B1B9-4B8C7E4F904F}"/>
  <tableColumns count="18">
    <tableColumn id="1" xr3:uid="{B77B486F-E309-439B-A99D-2AABD531D65D}" name="Columna16" dataDxfId="17"/>
    <tableColumn id="2" xr3:uid="{F1DAFEF5-3413-4105-9947-9C818CD93532}" name="Columna17" dataDxfId="16"/>
    <tableColumn id="3" xr3:uid="{00B56746-F5AC-4DCC-8381-8A0AEBD083FB}" name="Columna1" dataDxfId="15"/>
    <tableColumn id="4" xr3:uid="{41231679-E358-44D3-8AD7-505DD1312A04}" name="Columna2" dataDxfId="14"/>
    <tableColumn id="5" xr3:uid="{8FDF5D2D-A9CD-4FF7-91E5-EB059CD7AF2B}" name="Columna3" dataDxfId="13"/>
    <tableColumn id="6" xr3:uid="{34292A98-B06E-4F41-8BD0-0EB6C7E62796}" name="Columna4" dataDxfId="12"/>
    <tableColumn id="7" xr3:uid="{A43159E8-461D-4D9D-846A-D990F07871D6}" name="Columna5" dataDxfId="11"/>
    <tableColumn id="8" xr3:uid="{7D4749BB-A552-47CF-8EF2-386D68574453}" name="Columna6" dataDxfId="10"/>
    <tableColumn id="9" xr3:uid="{593E91F0-F0EF-471F-87F7-4D71F9E7B177}" name="Columna7" dataDxfId="9"/>
    <tableColumn id="10" xr3:uid="{FB08900D-2386-4D7E-98C8-91D555DE1B7B}" name="Columna8" dataDxfId="8"/>
    <tableColumn id="11" xr3:uid="{6DB6ADD3-0A70-4548-865F-634CA4149D87}" name="Columna9" dataDxfId="7"/>
    <tableColumn id="12" xr3:uid="{A8FE3C95-B38B-405B-B2D1-D9C4D79AE1F2}" name="Columna10" dataDxfId="6"/>
    <tableColumn id="13" xr3:uid="{A3996BD3-519F-4884-BB24-FB6C970CF9ED}" name="Columna11" dataDxfId="5"/>
    <tableColumn id="14" xr3:uid="{516DD3C4-E9E6-44D6-9DA0-A74934D1BC49}" name="Columna12" dataDxfId="4"/>
    <tableColumn id="15" xr3:uid="{2A901158-73F9-4805-9DFF-BFCC4C509A73}" name="Columna13" dataDxfId="3"/>
    <tableColumn id="16" xr3:uid="{01949324-C755-432D-AB3D-66FD3D722B64}" name="Columna14" dataDxfId="2"/>
    <tableColumn id="17" xr3:uid="{A2662777-F975-4BB4-BA4E-531572932D33}" name="Columna15" dataDxfId="1"/>
    <tableColumn id="18" xr3:uid="{ACA1EE2C-83BD-4871-8FEB-DB93BED53F44}" name="Columna18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ABE3-47FE-4B3F-BAB6-C77A2BE9E620}">
  <dimension ref="B4:S54"/>
  <sheetViews>
    <sheetView tabSelected="1" topLeftCell="A10" zoomScale="70" zoomScaleNormal="70" workbookViewId="0">
      <selection activeCell="I33" sqref="I33"/>
    </sheetView>
  </sheetViews>
  <sheetFormatPr baseColWidth="10" defaultRowHeight="14.4" x14ac:dyDescent="0.3"/>
  <cols>
    <col min="2" max="2" width="35" customWidth="1"/>
    <col min="3" max="3" width="20.33203125" customWidth="1"/>
    <col min="4" max="12" width="12" customWidth="1"/>
    <col min="13" max="18" width="13" customWidth="1"/>
  </cols>
  <sheetData>
    <row r="4" spans="2:19" ht="28.8" x14ac:dyDescent="0.55000000000000004">
      <c r="B4" s="27" t="s">
        <v>17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2:19" x14ac:dyDescent="0.3">
      <c r="B5" s="28" t="s">
        <v>18</v>
      </c>
      <c r="C5" s="28"/>
      <c r="D5" s="28" t="s">
        <v>69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2:19" x14ac:dyDescent="0.3">
      <c r="B6" s="28" t="s">
        <v>19</v>
      </c>
      <c r="C6" s="28"/>
      <c r="D6" s="28" t="s">
        <v>70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2:19" x14ac:dyDescent="0.3">
      <c r="B7" s="28" t="s">
        <v>20</v>
      </c>
      <c r="C7" s="28"/>
      <c r="D7" s="28" t="s">
        <v>71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2:19" x14ac:dyDescent="0.3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2:19" x14ac:dyDescent="0.3">
      <c r="C9" s="21" t="s">
        <v>21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1"/>
    </row>
    <row r="10" spans="2:19" x14ac:dyDescent="0.3">
      <c r="B10" s="12" t="s">
        <v>43</v>
      </c>
      <c r="C10" s="13" t="s">
        <v>44</v>
      </c>
      <c r="D10" s="14" t="s">
        <v>28</v>
      </c>
      <c r="E10" s="14" t="s">
        <v>29</v>
      </c>
      <c r="F10" s="14" t="s">
        <v>30</v>
      </c>
      <c r="G10" s="14" t="s">
        <v>31</v>
      </c>
      <c r="H10" s="14" t="s">
        <v>32</v>
      </c>
      <c r="I10" s="14" t="s">
        <v>33</v>
      </c>
      <c r="J10" s="14" t="s">
        <v>34</v>
      </c>
      <c r="K10" s="14" t="s">
        <v>35</v>
      </c>
      <c r="L10" s="14" t="s">
        <v>36</v>
      </c>
      <c r="M10" s="14" t="s">
        <v>37</v>
      </c>
      <c r="N10" s="14" t="s">
        <v>38</v>
      </c>
      <c r="O10" s="14" t="s">
        <v>39</v>
      </c>
      <c r="P10" s="14" t="s">
        <v>40</v>
      </c>
      <c r="Q10" s="14" t="s">
        <v>41</v>
      </c>
      <c r="R10" s="15" t="s">
        <v>42</v>
      </c>
      <c r="S10" s="16" t="s">
        <v>45</v>
      </c>
    </row>
    <row r="11" spans="2:19" ht="72" x14ac:dyDescent="0.3">
      <c r="B11" s="8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8</v>
      </c>
      <c r="K11" s="2" t="s">
        <v>9</v>
      </c>
      <c r="L11" s="2" t="s">
        <v>10</v>
      </c>
      <c r="M11" s="2" t="s">
        <v>11</v>
      </c>
      <c r="N11" s="2" t="s">
        <v>12</v>
      </c>
      <c r="O11" s="2" t="s">
        <v>13</v>
      </c>
      <c r="P11" s="2" t="s">
        <v>14</v>
      </c>
      <c r="Q11" s="2" t="s">
        <v>15</v>
      </c>
      <c r="R11" s="2" t="s">
        <v>16</v>
      </c>
      <c r="S11" s="9" t="s">
        <v>23</v>
      </c>
    </row>
    <row r="12" spans="2:19" x14ac:dyDescent="0.3">
      <c r="B12" s="3" t="s">
        <v>46</v>
      </c>
      <c r="C12">
        <v>3</v>
      </c>
      <c r="D12">
        <v>4</v>
      </c>
      <c r="E12">
        <v>4</v>
      </c>
      <c r="F12">
        <v>3</v>
      </c>
      <c r="G12">
        <v>3</v>
      </c>
      <c r="H12">
        <v>4</v>
      </c>
      <c r="I12">
        <v>2</v>
      </c>
      <c r="J12">
        <v>4</v>
      </c>
      <c r="K12">
        <v>4</v>
      </c>
      <c r="L12">
        <v>3</v>
      </c>
      <c r="M12">
        <v>3</v>
      </c>
      <c r="N12">
        <v>4</v>
      </c>
      <c r="O12">
        <v>3</v>
      </c>
      <c r="P12">
        <v>4</v>
      </c>
      <c r="Q12">
        <v>4</v>
      </c>
      <c r="R12">
        <v>3</v>
      </c>
      <c r="S12" s="6">
        <f>SUM(C12:R12)</f>
        <v>55</v>
      </c>
    </row>
    <row r="13" spans="2:19" x14ac:dyDescent="0.3">
      <c r="B13" s="3" t="s">
        <v>47</v>
      </c>
      <c r="C13">
        <v>3</v>
      </c>
      <c r="D13">
        <v>4</v>
      </c>
      <c r="E13">
        <v>3</v>
      </c>
      <c r="F13">
        <v>4</v>
      </c>
      <c r="G13">
        <v>3</v>
      </c>
      <c r="H13">
        <v>3</v>
      </c>
      <c r="I13">
        <v>4</v>
      </c>
      <c r="J13">
        <v>2</v>
      </c>
      <c r="K13">
        <v>4</v>
      </c>
      <c r="L13">
        <v>2</v>
      </c>
      <c r="M13">
        <v>4</v>
      </c>
      <c r="N13">
        <v>3</v>
      </c>
      <c r="O13">
        <v>3</v>
      </c>
      <c r="P13">
        <v>4</v>
      </c>
      <c r="Q13">
        <v>3</v>
      </c>
      <c r="R13">
        <v>3</v>
      </c>
      <c r="S13" s="6">
        <f t="shared" ref="S13:S34" si="0">SUM(C13:R13)</f>
        <v>52</v>
      </c>
    </row>
    <row r="14" spans="2:19" x14ac:dyDescent="0.3">
      <c r="B14" s="3" t="s">
        <v>48</v>
      </c>
      <c r="C14">
        <v>4</v>
      </c>
      <c r="D14">
        <v>3</v>
      </c>
      <c r="E14">
        <v>3</v>
      </c>
      <c r="F14">
        <v>4</v>
      </c>
      <c r="G14">
        <v>4</v>
      </c>
      <c r="H14">
        <v>3</v>
      </c>
      <c r="I14">
        <v>4</v>
      </c>
      <c r="J14">
        <v>3</v>
      </c>
      <c r="K14">
        <v>3</v>
      </c>
      <c r="L14">
        <v>3</v>
      </c>
      <c r="M14">
        <v>3</v>
      </c>
      <c r="N14">
        <v>4</v>
      </c>
      <c r="O14">
        <v>4</v>
      </c>
      <c r="P14">
        <v>3</v>
      </c>
      <c r="Q14">
        <v>4</v>
      </c>
      <c r="R14">
        <v>4</v>
      </c>
      <c r="S14" s="6">
        <f t="shared" si="0"/>
        <v>56</v>
      </c>
    </row>
    <row r="15" spans="2:19" x14ac:dyDescent="0.3">
      <c r="B15" s="3" t="s">
        <v>49</v>
      </c>
      <c r="C15">
        <v>2</v>
      </c>
      <c r="D15">
        <v>2</v>
      </c>
      <c r="E15">
        <v>4</v>
      </c>
      <c r="F15">
        <v>2</v>
      </c>
      <c r="G15">
        <v>2</v>
      </c>
      <c r="H15">
        <v>4</v>
      </c>
      <c r="I15">
        <v>4</v>
      </c>
      <c r="J15">
        <v>3</v>
      </c>
      <c r="K15">
        <v>4</v>
      </c>
      <c r="L15">
        <v>3</v>
      </c>
      <c r="M15">
        <v>4</v>
      </c>
      <c r="N15">
        <v>3</v>
      </c>
      <c r="O15">
        <v>4</v>
      </c>
      <c r="P15">
        <v>4</v>
      </c>
      <c r="Q15">
        <v>4</v>
      </c>
      <c r="R15">
        <v>3</v>
      </c>
      <c r="S15" s="6">
        <f t="shared" si="0"/>
        <v>52</v>
      </c>
    </row>
    <row r="16" spans="2:19" x14ac:dyDescent="0.3">
      <c r="B16" s="3" t="s">
        <v>50</v>
      </c>
      <c r="C16">
        <v>3</v>
      </c>
      <c r="D16">
        <v>2</v>
      </c>
      <c r="E16">
        <v>4</v>
      </c>
      <c r="F16">
        <v>4</v>
      </c>
      <c r="G16">
        <v>4</v>
      </c>
      <c r="H16">
        <v>4</v>
      </c>
      <c r="I16">
        <v>4</v>
      </c>
      <c r="J16">
        <v>2</v>
      </c>
      <c r="K16">
        <v>2</v>
      </c>
      <c r="L16">
        <v>2</v>
      </c>
      <c r="M16">
        <v>4</v>
      </c>
      <c r="N16">
        <v>4</v>
      </c>
      <c r="O16">
        <v>3</v>
      </c>
      <c r="P16">
        <v>4</v>
      </c>
      <c r="Q16">
        <v>3</v>
      </c>
      <c r="R16">
        <v>4</v>
      </c>
      <c r="S16" s="6">
        <f t="shared" si="0"/>
        <v>53</v>
      </c>
    </row>
    <row r="17" spans="2:19" x14ac:dyDescent="0.3">
      <c r="B17" s="3" t="s">
        <v>51</v>
      </c>
      <c r="C17">
        <v>2</v>
      </c>
      <c r="D17">
        <v>4</v>
      </c>
      <c r="E17">
        <v>4</v>
      </c>
      <c r="F17">
        <v>4</v>
      </c>
      <c r="G17">
        <v>3</v>
      </c>
      <c r="H17">
        <v>4</v>
      </c>
      <c r="I17">
        <v>4</v>
      </c>
      <c r="J17">
        <v>3</v>
      </c>
      <c r="K17">
        <v>3</v>
      </c>
      <c r="L17">
        <v>2</v>
      </c>
      <c r="M17">
        <v>4</v>
      </c>
      <c r="N17">
        <v>3</v>
      </c>
      <c r="O17">
        <v>2</v>
      </c>
      <c r="P17">
        <v>3</v>
      </c>
      <c r="Q17">
        <v>4</v>
      </c>
      <c r="R17">
        <v>3</v>
      </c>
      <c r="S17" s="6">
        <f t="shared" si="0"/>
        <v>52</v>
      </c>
    </row>
    <row r="18" spans="2:19" x14ac:dyDescent="0.3">
      <c r="B18" s="3" t="s">
        <v>52</v>
      </c>
      <c r="C18">
        <v>3</v>
      </c>
      <c r="D18">
        <v>3</v>
      </c>
      <c r="E18">
        <v>2</v>
      </c>
      <c r="F18">
        <v>4</v>
      </c>
      <c r="G18">
        <v>3</v>
      </c>
      <c r="H18">
        <v>3</v>
      </c>
      <c r="I18">
        <v>3</v>
      </c>
      <c r="J18">
        <v>4</v>
      </c>
      <c r="K18">
        <v>4</v>
      </c>
      <c r="L18">
        <v>4</v>
      </c>
      <c r="M18">
        <v>3</v>
      </c>
      <c r="N18">
        <v>3</v>
      </c>
      <c r="O18">
        <v>4</v>
      </c>
      <c r="P18">
        <v>3</v>
      </c>
      <c r="Q18">
        <v>4</v>
      </c>
      <c r="R18">
        <v>2</v>
      </c>
      <c r="S18" s="6">
        <f t="shared" si="0"/>
        <v>52</v>
      </c>
    </row>
    <row r="19" spans="2:19" x14ac:dyDescent="0.3">
      <c r="B19" s="3" t="s">
        <v>53</v>
      </c>
      <c r="C19">
        <v>3</v>
      </c>
      <c r="D19">
        <v>4</v>
      </c>
      <c r="E19">
        <v>4</v>
      </c>
      <c r="F19">
        <v>4</v>
      </c>
      <c r="G19">
        <v>3</v>
      </c>
      <c r="H19">
        <v>2</v>
      </c>
      <c r="I19">
        <v>4</v>
      </c>
      <c r="J19">
        <v>4</v>
      </c>
      <c r="K19">
        <v>4</v>
      </c>
      <c r="L19">
        <v>4</v>
      </c>
      <c r="M19">
        <v>4</v>
      </c>
      <c r="N19">
        <v>3</v>
      </c>
      <c r="O19">
        <v>4</v>
      </c>
      <c r="P19">
        <v>2</v>
      </c>
      <c r="Q19">
        <v>3</v>
      </c>
      <c r="R19">
        <v>4</v>
      </c>
      <c r="S19" s="6">
        <f t="shared" si="0"/>
        <v>56</v>
      </c>
    </row>
    <row r="20" spans="2:19" x14ac:dyDescent="0.3">
      <c r="B20" s="3" t="s">
        <v>54</v>
      </c>
      <c r="C20">
        <v>2</v>
      </c>
      <c r="D20">
        <v>3</v>
      </c>
      <c r="E20">
        <v>4</v>
      </c>
      <c r="F20">
        <v>2</v>
      </c>
      <c r="G20">
        <v>4</v>
      </c>
      <c r="H20">
        <v>3</v>
      </c>
      <c r="I20">
        <v>4</v>
      </c>
      <c r="J20">
        <v>3</v>
      </c>
      <c r="K20">
        <v>4</v>
      </c>
      <c r="L20">
        <v>4</v>
      </c>
      <c r="M20">
        <v>2</v>
      </c>
      <c r="N20">
        <v>4</v>
      </c>
      <c r="O20">
        <v>4</v>
      </c>
      <c r="P20">
        <v>4</v>
      </c>
      <c r="Q20">
        <v>2</v>
      </c>
      <c r="R20">
        <v>3</v>
      </c>
      <c r="S20" s="6">
        <f t="shared" si="0"/>
        <v>52</v>
      </c>
    </row>
    <row r="21" spans="2:19" x14ac:dyDescent="0.3">
      <c r="B21" s="3" t="s">
        <v>55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4</v>
      </c>
      <c r="J21">
        <v>2</v>
      </c>
      <c r="K21">
        <v>4</v>
      </c>
      <c r="L21">
        <v>2</v>
      </c>
      <c r="M21">
        <v>4</v>
      </c>
      <c r="N21">
        <v>4</v>
      </c>
      <c r="O21">
        <v>4</v>
      </c>
      <c r="P21">
        <v>4</v>
      </c>
      <c r="Q21">
        <v>3</v>
      </c>
      <c r="R21">
        <v>4</v>
      </c>
      <c r="S21" s="6">
        <f t="shared" si="0"/>
        <v>53</v>
      </c>
    </row>
    <row r="22" spans="2:19" x14ac:dyDescent="0.3">
      <c r="B22" s="3" t="s">
        <v>56</v>
      </c>
      <c r="C22">
        <v>3</v>
      </c>
      <c r="D22">
        <v>3</v>
      </c>
      <c r="E22">
        <v>4</v>
      </c>
      <c r="F22">
        <v>4</v>
      </c>
      <c r="G22">
        <v>2</v>
      </c>
      <c r="H22">
        <v>2</v>
      </c>
      <c r="I22">
        <v>4</v>
      </c>
      <c r="J22">
        <v>4</v>
      </c>
      <c r="K22">
        <v>4</v>
      </c>
      <c r="L22">
        <v>4</v>
      </c>
      <c r="M22">
        <v>2</v>
      </c>
      <c r="N22">
        <v>3</v>
      </c>
      <c r="O22">
        <v>3</v>
      </c>
      <c r="P22">
        <v>4</v>
      </c>
      <c r="Q22">
        <v>4</v>
      </c>
      <c r="R22">
        <v>4</v>
      </c>
      <c r="S22" s="6">
        <f t="shared" si="0"/>
        <v>54</v>
      </c>
    </row>
    <row r="23" spans="2:19" x14ac:dyDescent="0.3">
      <c r="B23" s="3" t="s">
        <v>57</v>
      </c>
      <c r="C23">
        <v>4</v>
      </c>
      <c r="D23">
        <v>3</v>
      </c>
      <c r="E23">
        <v>2</v>
      </c>
      <c r="F23">
        <v>3</v>
      </c>
      <c r="G23">
        <v>3</v>
      </c>
      <c r="H23">
        <v>3</v>
      </c>
      <c r="I23">
        <v>4</v>
      </c>
      <c r="J23">
        <v>3</v>
      </c>
      <c r="K23">
        <v>4</v>
      </c>
      <c r="L23">
        <v>2</v>
      </c>
      <c r="M23">
        <v>4</v>
      </c>
      <c r="N23">
        <v>3</v>
      </c>
      <c r="O23">
        <v>3</v>
      </c>
      <c r="P23">
        <v>4</v>
      </c>
      <c r="Q23">
        <v>3</v>
      </c>
      <c r="R23">
        <v>4</v>
      </c>
      <c r="S23" s="6">
        <f t="shared" si="0"/>
        <v>52</v>
      </c>
    </row>
    <row r="24" spans="2:19" x14ac:dyDescent="0.3">
      <c r="B24" s="3" t="s">
        <v>58</v>
      </c>
      <c r="C24">
        <v>4</v>
      </c>
      <c r="D24">
        <v>4</v>
      </c>
      <c r="E24">
        <v>4</v>
      </c>
      <c r="F24">
        <v>4</v>
      </c>
      <c r="G24">
        <v>3</v>
      </c>
      <c r="H24">
        <v>4</v>
      </c>
      <c r="I24">
        <v>3</v>
      </c>
      <c r="J24">
        <v>4</v>
      </c>
      <c r="K24">
        <v>2</v>
      </c>
      <c r="L24">
        <v>4</v>
      </c>
      <c r="M24">
        <v>3</v>
      </c>
      <c r="N24">
        <v>4</v>
      </c>
      <c r="O24">
        <v>2</v>
      </c>
      <c r="P24">
        <v>2</v>
      </c>
      <c r="Q24">
        <v>4</v>
      </c>
      <c r="R24">
        <v>3</v>
      </c>
      <c r="S24" s="6">
        <f t="shared" si="0"/>
        <v>54</v>
      </c>
    </row>
    <row r="25" spans="2:19" x14ac:dyDescent="0.3">
      <c r="B25" s="3" t="s">
        <v>59</v>
      </c>
      <c r="C25">
        <v>3</v>
      </c>
      <c r="D25">
        <v>3</v>
      </c>
      <c r="E25">
        <v>4</v>
      </c>
      <c r="F25">
        <v>4</v>
      </c>
      <c r="G25">
        <v>3</v>
      </c>
      <c r="H25">
        <v>2</v>
      </c>
      <c r="I25">
        <v>4</v>
      </c>
      <c r="J25">
        <v>3</v>
      </c>
      <c r="K25">
        <v>4</v>
      </c>
      <c r="L25">
        <v>4</v>
      </c>
      <c r="M25">
        <v>3</v>
      </c>
      <c r="N25">
        <v>2</v>
      </c>
      <c r="O25">
        <v>4</v>
      </c>
      <c r="P25">
        <v>4</v>
      </c>
      <c r="Q25">
        <v>2</v>
      </c>
      <c r="R25">
        <v>3</v>
      </c>
      <c r="S25" s="6">
        <f t="shared" si="0"/>
        <v>52</v>
      </c>
    </row>
    <row r="26" spans="2:19" x14ac:dyDescent="0.3">
      <c r="B26" s="3" t="s">
        <v>61</v>
      </c>
      <c r="C26">
        <v>2</v>
      </c>
      <c r="D26">
        <v>2</v>
      </c>
      <c r="E26">
        <v>3</v>
      </c>
      <c r="F26">
        <v>3</v>
      </c>
      <c r="G26">
        <v>2</v>
      </c>
      <c r="H26">
        <v>4</v>
      </c>
      <c r="I26">
        <v>3</v>
      </c>
      <c r="J26">
        <v>3</v>
      </c>
      <c r="K26">
        <v>4</v>
      </c>
      <c r="L26">
        <v>4</v>
      </c>
      <c r="M26">
        <v>4</v>
      </c>
      <c r="N26">
        <v>4</v>
      </c>
      <c r="O26">
        <v>3</v>
      </c>
      <c r="P26">
        <v>3</v>
      </c>
      <c r="Q26">
        <v>4</v>
      </c>
      <c r="R26">
        <v>4</v>
      </c>
      <c r="S26" s="6">
        <f t="shared" si="0"/>
        <v>52</v>
      </c>
    </row>
    <row r="27" spans="2:19" x14ac:dyDescent="0.3">
      <c r="B27" s="3" t="s">
        <v>62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3</v>
      </c>
      <c r="J27">
        <v>4</v>
      </c>
      <c r="K27">
        <v>4</v>
      </c>
      <c r="L27">
        <v>3</v>
      </c>
      <c r="M27">
        <v>4</v>
      </c>
      <c r="N27">
        <v>3</v>
      </c>
      <c r="O27">
        <v>4</v>
      </c>
      <c r="P27">
        <v>2</v>
      </c>
      <c r="Q27">
        <v>4</v>
      </c>
      <c r="R27">
        <v>3</v>
      </c>
      <c r="S27" s="6">
        <f t="shared" si="0"/>
        <v>58</v>
      </c>
    </row>
    <row r="28" spans="2:19" x14ac:dyDescent="0.3">
      <c r="B28" s="3" t="s">
        <v>63</v>
      </c>
      <c r="C28">
        <v>2</v>
      </c>
      <c r="D28">
        <v>4</v>
      </c>
      <c r="E28">
        <v>2</v>
      </c>
      <c r="F28">
        <v>4</v>
      </c>
      <c r="G28">
        <v>3</v>
      </c>
      <c r="H28">
        <v>3</v>
      </c>
      <c r="I28">
        <v>3</v>
      </c>
      <c r="J28">
        <v>3</v>
      </c>
      <c r="K28">
        <v>3</v>
      </c>
      <c r="L28">
        <v>2</v>
      </c>
      <c r="M28">
        <v>4</v>
      </c>
      <c r="N28">
        <v>4</v>
      </c>
      <c r="O28">
        <v>4</v>
      </c>
      <c r="P28">
        <v>3</v>
      </c>
      <c r="Q28">
        <v>4</v>
      </c>
      <c r="R28">
        <v>4</v>
      </c>
      <c r="S28" s="6">
        <f t="shared" si="0"/>
        <v>52</v>
      </c>
    </row>
    <row r="29" spans="2:19" x14ac:dyDescent="0.3">
      <c r="B29" s="3" t="s">
        <v>60</v>
      </c>
      <c r="C29">
        <v>4</v>
      </c>
      <c r="D29">
        <v>4</v>
      </c>
      <c r="E29">
        <v>3</v>
      </c>
      <c r="F29">
        <v>4</v>
      </c>
      <c r="G29">
        <v>4</v>
      </c>
      <c r="H29">
        <v>3</v>
      </c>
      <c r="I29">
        <v>3</v>
      </c>
      <c r="J29">
        <v>3</v>
      </c>
      <c r="K29">
        <v>4</v>
      </c>
      <c r="L29">
        <v>3</v>
      </c>
      <c r="M29">
        <v>3</v>
      </c>
      <c r="N29">
        <v>4</v>
      </c>
      <c r="O29">
        <v>3</v>
      </c>
      <c r="P29">
        <v>2</v>
      </c>
      <c r="Q29">
        <v>2</v>
      </c>
      <c r="R29">
        <v>3</v>
      </c>
      <c r="S29" s="6">
        <f t="shared" si="0"/>
        <v>52</v>
      </c>
    </row>
    <row r="30" spans="2:19" x14ac:dyDescent="0.3">
      <c r="B30" s="3" t="s">
        <v>64</v>
      </c>
      <c r="C30">
        <v>4</v>
      </c>
      <c r="D30">
        <v>3</v>
      </c>
      <c r="E30">
        <v>4</v>
      </c>
      <c r="F30">
        <v>4</v>
      </c>
      <c r="G30">
        <v>2</v>
      </c>
      <c r="H30">
        <v>4</v>
      </c>
      <c r="I30">
        <v>3</v>
      </c>
      <c r="J30">
        <v>4</v>
      </c>
      <c r="K30">
        <v>3</v>
      </c>
      <c r="L30">
        <v>4</v>
      </c>
      <c r="M30">
        <v>4</v>
      </c>
      <c r="N30">
        <v>3</v>
      </c>
      <c r="O30">
        <v>3</v>
      </c>
      <c r="P30">
        <v>2</v>
      </c>
      <c r="Q30">
        <v>4</v>
      </c>
      <c r="R30">
        <v>2</v>
      </c>
      <c r="S30" s="6">
        <f t="shared" si="0"/>
        <v>53</v>
      </c>
    </row>
    <row r="31" spans="2:19" x14ac:dyDescent="0.3">
      <c r="B31" s="3" t="s">
        <v>65</v>
      </c>
      <c r="C31">
        <v>2</v>
      </c>
      <c r="D31">
        <v>2</v>
      </c>
      <c r="E31">
        <v>4</v>
      </c>
      <c r="F31">
        <v>4</v>
      </c>
      <c r="G31">
        <v>4</v>
      </c>
      <c r="H31">
        <v>4</v>
      </c>
      <c r="I31">
        <v>4</v>
      </c>
      <c r="J31">
        <v>3</v>
      </c>
      <c r="K31">
        <v>4</v>
      </c>
      <c r="L31">
        <v>4</v>
      </c>
      <c r="M31">
        <v>2</v>
      </c>
      <c r="N31">
        <v>3</v>
      </c>
      <c r="O31">
        <v>3</v>
      </c>
      <c r="P31">
        <v>2</v>
      </c>
      <c r="Q31">
        <v>4</v>
      </c>
      <c r="R31">
        <v>4</v>
      </c>
      <c r="S31" s="6">
        <f t="shared" si="0"/>
        <v>53</v>
      </c>
    </row>
    <row r="32" spans="2:19" x14ac:dyDescent="0.3">
      <c r="B32" s="3" t="s">
        <v>66</v>
      </c>
      <c r="C32">
        <v>2</v>
      </c>
      <c r="D32">
        <v>3</v>
      </c>
      <c r="E32">
        <v>2</v>
      </c>
      <c r="F32">
        <v>2</v>
      </c>
      <c r="G32">
        <v>2</v>
      </c>
      <c r="H32">
        <v>2</v>
      </c>
      <c r="I32">
        <v>3</v>
      </c>
      <c r="J32">
        <v>3</v>
      </c>
      <c r="K32">
        <v>3</v>
      </c>
      <c r="L32">
        <v>2</v>
      </c>
      <c r="M32">
        <v>2</v>
      </c>
      <c r="N32">
        <v>3</v>
      </c>
      <c r="O32">
        <v>4</v>
      </c>
      <c r="P32">
        <v>3</v>
      </c>
      <c r="Q32">
        <v>3</v>
      </c>
      <c r="R32">
        <v>3</v>
      </c>
      <c r="S32" s="6">
        <f t="shared" si="0"/>
        <v>42</v>
      </c>
    </row>
    <row r="33" spans="2:19" x14ac:dyDescent="0.3">
      <c r="B33" s="3" t="s">
        <v>67</v>
      </c>
      <c r="C33">
        <v>4</v>
      </c>
      <c r="D33">
        <v>3</v>
      </c>
      <c r="E33">
        <v>4</v>
      </c>
      <c r="F33">
        <v>4</v>
      </c>
      <c r="G33">
        <v>4</v>
      </c>
      <c r="H33">
        <v>3</v>
      </c>
      <c r="I33">
        <v>3</v>
      </c>
      <c r="J33">
        <v>3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2</v>
      </c>
      <c r="R33">
        <v>2</v>
      </c>
      <c r="S33" s="6">
        <f t="shared" si="0"/>
        <v>56</v>
      </c>
    </row>
    <row r="34" spans="2:19" x14ac:dyDescent="0.3">
      <c r="B34" s="3" t="s">
        <v>68</v>
      </c>
      <c r="C34">
        <v>2</v>
      </c>
      <c r="D34">
        <v>2</v>
      </c>
      <c r="E34">
        <v>4</v>
      </c>
      <c r="F34">
        <v>4</v>
      </c>
      <c r="G34">
        <v>3</v>
      </c>
      <c r="H34">
        <v>3</v>
      </c>
      <c r="I34">
        <v>3</v>
      </c>
      <c r="J34">
        <v>4</v>
      </c>
      <c r="K34">
        <v>4</v>
      </c>
      <c r="L34">
        <v>3</v>
      </c>
      <c r="M34">
        <v>4</v>
      </c>
      <c r="N34">
        <v>4</v>
      </c>
      <c r="O34">
        <v>2</v>
      </c>
      <c r="P34">
        <v>4</v>
      </c>
      <c r="Q34">
        <v>4</v>
      </c>
      <c r="R34">
        <v>3</v>
      </c>
      <c r="S34" s="6">
        <f t="shared" si="0"/>
        <v>53</v>
      </c>
    </row>
    <row r="35" spans="2:19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0" t="s">
        <v>24</v>
      </c>
      <c r="R35" s="11"/>
      <c r="S35" s="7">
        <f>AVERAGE(S12:S34)</f>
        <v>52.869565217391305</v>
      </c>
    </row>
    <row r="36" spans="2:19" x14ac:dyDescent="0.3">
      <c r="B36" s="21" t="s">
        <v>22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5"/>
      <c r="R36" s="25"/>
      <c r="S36" s="25"/>
    </row>
    <row r="38" spans="2:19" ht="23.4" x14ac:dyDescent="0.45">
      <c r="B38" s="26" t="s">
        <v>25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2:19" x14ac:dyDescent="0.3">
      <c r="B39" s="22" t="s">
        <v>26</v>
      </c>
      <c r="C39" s="23"/>
      <c r="D39" s="23"/>
      <c r="E39" s="23"/>
      <c r="F39" s="23"/>
      <c r="G39" s="23"/>
      <c r="H39" s="23"/>
      <c r="I39" s="23"/>
      <c r="J39" s="24"/>
      <c r="K39" s="22" t="s">
        <v>27</v>
      </c>
      <c r="L39" s="23"/>
      <c r="M39" s="23"/>
      <c r="N39" s="23"/>
      <c r="O39" s="23"/>
      <c r="P39" s="23"/>
      <c r="Q39" s="23"/>
      <c r="R39" s="23"/>
      <c r="S39" s="24"/>
    </row>
    <row r="40" spans="2:19" x14ac:dyDescent="0.3">
      <c r="B40" s="29" t="s">
        <v>72</v>
      </c>
      <c r="C40" s="29"/>
      <c r="D40" s="29"/>
      <c r="E40" s="29"/>
      <c r="F40" s="29"/>
      <c r="G40" s="29"/>
      <c r="H40" s="29"/>
      <c r="I40" s="29"/>
      <c r="J40" s="29"/>
      <c r="K40" s="18" t="s">
        <v>73</v>
      </c>
      <c r="L40" s="19"/>
      <c r="M40" s="19"/>
      <c r="N40" s="19"/>
      <c r="O40" s="19"/>
      <c r="P40" s="19"/>
      <c r="Q40" s="19"/>
      <c r="R40" s="19"/>
      <c r="S40" s="20"/>
    </row>
    <row r="41" spans="2:19" x14ac:dyDescent="0.3">
      <c r="B41" s="18" t="s">
        <v>74</v>
      </c>
      <c r="C41" s="19"/>
      <c r="D41" s="19"/>
      <c r="E41" s="19"/>
      <c r="F41" s="19"/>
      <c r="G41" s="19"/>
      <c r="H41" s="19"/>
      <c r="I41" s="19"/>
      <c r="J41" s="20"/>
      <c r="K41" s="18" t="s">
        <v>75</v>
      </c>
      <c r="L41" s="19"/>
      <c r="M41" s="19"/>
      <c r="N41" s="19"/>
      <c r="O41" s="19"/>
      <c r="P41" s="19"/>
      <c r="Q41" s="19"/>
      <c r="R41" s="19"/>
      <c r="S41" s="20"/>
    </row>
    <row r="42" spans="2:19" x14ac:dyDescent="0.3">
      <c r="B42" s="18" t="s">
        <v>76</v>
      </c>
      <c r="C42" s="19"/>
      <c r="D42" s="19"/>
      <c r="E42" s="19"/>
      <c r="F42" s="19"/>
      <c r="G42" s="19"/>
      <c r="H42" s="19"/>
      <c r="I42" s="19"/>
      <c r="J42" s="20"/>
      <c r="K42" s="18" t="s">
        <v>77</v>
      </c>
      <c r="L42" s="19"/>
      <c r="M42" s="19"/>
      <c r="N42" s="19"/>
      <c r="O42" s="19"/>
      <c r="P42" s="19"/>
      <c r="Q42" s="19"/>
      <c r="R42" s="19"/>
      <c r="S42" s="20"/>
    </row>
    <row r="43" spans="2:19" x14ac:dyDescent="0.3">
      <c r="B43" s="18" t="s">
        <v>78</v>
      </c>
      <c r="C43" s="19"/>
      <c r="D43" s="19"/>
      <c r="E43" s="19"/>
      <c r="F43" s="19"/>
      <c r="G43" s="19"/>
      <c r="H43" s="19"/>
      <c r="I43" s="19"/>
      <c r="J43" s="20"/>
      <c r="K43" s="18" t="s">
        <v>79</v>
      </c>
      <c r="L43" s="19"/>
      <c r="M43" s="19"/>
      <c r="N43" s="19"/>
      <c r="O43" s="19"/>
      <c r="P43" s="19"/>
      <c r="Q43" s="19"/>
      <c r="R43" s="19"/>
      <c r="S43" s="20"/>
    </row>
    <row r="44" spans="2:19" x14ac:dyDescent="0.3">
      <c r="B44" s="18" t="s">
        <v>80</v>
      </c>
      <c r="C44" s="19"/>
      <c r="D44" s="19"/>
      <c r="E44" s="19"/>
      <c r="F44" s="19"/>
      <c r="G44" s="19"/>
      <c r="H44" s="19"/>
      <c r="I44" s="19"/>
      <c r="J44" s="20"/>
      <c r="K44" s="18" t="s">
        <v>81</v>
      </c>
      <c r="L44" s="19"/>
      <c r="M44" s="19"/>
      <c r="N44" s="19"/>
      <c r="O44" s="19"/>
      <c r="P44" s="19"/>
      <c r="Q44" s="19"/>
      <c r="R44" s="19"/>
      <c r="S44" s="20"/>
    </row>
    <row r="45" spans="2:19" x14ac:dyDescent="0.3">
      <c r="B45" s="18"/>
      <c r="C45" s="19"/>
      <c r="D45" s="19"/>
      <c r="E45" s="19"/>
      <c r="F45" s="19"/>
      <c r="G45" s="19"/>
      <c r="H45" s="19"/>
      <c r="I45" s="19"/>
      <c r="J45" s="20"/>
      <c r="K45" s="18"/>
      <c r="L45" s="19"/>
      <c r="M45" s="19"/>
      <c r="N45" s="19"/>
      <c r="O45" s="19"/>
      <c r="P45" s="19"/>
      <c r="Q45" s="19"/>
      <c r="R45" s="19"/>
      <c r="S45" s="20"/>
    </row>
    <row r="46" spans="2:19" x14ac:dyDescent="0.3">
      <c r="B46" s="18"/>
      <c r="C46" s="19"/>
      <c r="D46" s="19"/>
      <c r="E46" s="19"/>
      <c r="F46" s="19"/>
      <c r="G46" s="19"/>
      <c r="H46" s="19"/>
      <c r="I46" s="19"/>
      <c r="J46" s="20"/>
      <c r="K46" s="18"/>
      <c r="L46" s="19"/>
      <c r="M46" s="19"/>
      <c r="N46" s="19"/>
      <c r="O46" s="19"/>
      <c r="P46" s="19"/>
      <c r="Q46" s="19"/>
      <c r="R46" s="19"/>
      <c r="S46" s="20"/>
    </row>
    <row r="47" spans="2:19" x14ac:dyDescent="0.3">
      <c r="B47" s="18"/>
      <c r="C47" s="19"/>
      <c r="D47" s="19"/>
      <c r="E47" s="19"/>
      <c r="F47" s="19"/>
      <c r="G47" s="19"/>
      <c r="H47" s="19"/>
      <c r="I47" s="19"/>
      <c r="J47" s="20"/>
      <c r="K47" s="18"/>
      <c r="L47" s="19"/>
      <c r="M47" s="19"/>
      <c r="N47" s="19"/>
      <c r="O47" s="19"/>
      <c r="P47" s="19"/>
      <c r="Q47" s="19"/>
      <c r="R47" s="19"/>
      <c r="S47" s="20"/>
    </row>
    <row r="48" spans="2:19" x14ac:dyDescent="0.3">
      <c r="B48" s="18"/>
      <c r="C48" s="19"/>
      <c r="D48" s="19"/>
      <c r="E48" s="19"/>
      <c r="F48" s="19"/>
      <c r="G48" s="19"/>
      <c r="H48" s="19"/>
      <c r="I48" s="19"/>
      <c r="J48" s="20"/>
      <c r="K48" s="18"/>
      <c r="L48" s="19"/>
      <c r="M48" s="19"/>
      <c r="N48" s="19"/>
      <c r="O48" s="19"/>
      <c r="P48" s="19"/>
      <c r="Q48" s="19"/>
      <c r="R48" s="19"/>
      <c r="S48" s="20"/>
    </row>
    <row r="49" spans="2:19" x14ac:dyDescent="0.3">
      <c r="B49" s="18"/>
      <c r="C49" s="19"/>
      <c r="D49" s="19"/>
      <c r="E49" s="19"/>
      <c r="F49" s="19"/>
      <c r="G49" s="19"/>
      <c r="H49" s="19"/>
      <c r="I49" s="19"/>
      <c r="J49" s="20"/>
      <c r="K49" s="18"/>
      <c r="L49" s="19"/>
      <c r="M49" s="19"/>
      <c r="N49" s="19"/>
      <c r="O49" s="19"/>
      <c r="P49" s="19"/>
      <c r="Q49" s="19"/>
      <c r="R49" s="19"/>
      <c r="S49" s="20"/>
    </row>
    <row r="50" spans="2:19" x14ac:dyDescent="0.3">
      <c r="B50" s="18"/>
      <c r="C50" s="19"/>
      <c r="D50" s="19"/>
      <c r="E50" s="19"/>
      <c r="F50" s="19"/>
      <c r="G50" s="19"/>
      <c r="H50" s="19"/>
      <c r="I50" s="19"/>
      <c r="J50" s="20"/>
      <c r="K50" s="18"/>
      <c r="L50" s="19"/>
      <c r="M50" s="19"/>
      <c r="N50" s="19"/>
      <c r="O50" s="19"/>
      <c r="P50" s="19"/>
      <c r="Q50" s="19"/>
      <c r="R50" s="19"/>
      <c r="S50" s="20"/>
    </row>
    <row r="51" spans="2:19" x14ac:dyDescent="0.3">
      <c r="B51" s="18"/>
      <c r="C51" s="19"/>
      <c r="D51" s="19"/>
      <c r="E51" s="19"/>
      <c r="F51" s="19"/>
      <c r="G51" s="19"/>
      <c r="H51" s="19"/>
      <c r="I51" s="19"/>
      <c r="J51" s="20"/>
      <c r="K51" s="18"/>
      <c r="L51" s="19"/>
      <c r="M51" s="19"/>
      <c r="N51" s="19"/>
      <c r="O51" s="19"/>
      <c r="P51" s="19"/>
      <c r="Q51" s="19"/>
      <c r="R51" s="19"/>
      <c r="S51" s="20"/>
    </row>
    <row r="52" spans="2:19" x14ac:dyDescent="0.3">
      <c r="B52" s="18"/>
      <c r="C52" s="19"/>
      <c r="D52" s="19"/>
      <c r="E52" s="19"/>
      <c r="F52" s="19"/>
      <c r="G52" s="19"/>
      <c r="H52" s="19"/>
      <c r="I52" s="19"/>
      <c r="J52" s="20"/>
      <c r="K52" s="18"/>
      <c r="L52" s="19"/>
      <c r="M52" s="19"/>
      <c r="N52" s="19"/>
      <c r="O52" s="19"/>
      <c r="P52" s="19"/>
      <c r="Q52" s="19"/>
      <c r="R52" s="19"/>
      <c r="S52" s="20"/>
    </row>
    <row r="53" spans="2:19" x14ac:dyDescent="0.3">
      <c r="B53" s="18"/>
      <c r="C53" s="19"/>
      <c r="D53" s="19"/>
      <c r="E53" s="19"/>
      <c r="F53" s="19"/>
      <c r="G53" s="19"/>
      <c r="H53" s="19"/>
      <c r="I53" s="19"/>
      <c r="J53" s="20"/>
      <c r="K53" s="18"/>
      <c r="L53" s="19"/>
      <c r="M53" s="19"/>
      <c r="N53" s="19"/>
      <c r="O53" s="19"/>
      <c r="P53" s="19"/>
      <c r="Q53" s="19"/>
      <c r="R53" s="19"/>
      <c r="S53" s="20"/>
    </row>
    <row r="54" spans="2:19" x14ac:dyDescent="0.3">
      <c r="B54" s="18"/>
      <c r="C54" s="19"/>
      <c r="D54" s="19"/>
      <c r="E54" s="19"/>
      <c r="F54" s="19"/>
      <c r="G54" s="19"/>
      <c r="H54" s="19"/>
      <c r="I54" s="19"/>
      <c r="J54" s="20"/>
      <c r="K54" s="18"/>
      <c r="L54" s="19"/>
      <c r="M54" s="19"/>
      <c r="N54" s="19"/>
      <c r="O54" s="19"/>
      <c r="P54" s="19"/>
      <c r="Q54" s="19"/>
      <c r="R54" s="19"/>
      <c r="S54" s="20"/>
    </row>
  </sheetData>
  <mergeCells count="42">
    <mergeCell ref="B40:J40"/>
    <mergeCell ref="B36:S36"/>
    <mergeCell ref="B38:R38"/>
    <mergeCell ref="B4:S4"/>
    <mergeCell ref="B5:C5"/>
    <mergeCell ref="B6:C6"/>
    <mergeCell ref="B7:C7"/>
    <mergeCell ref="D5:R5"/>
    <mergeCell ref="D6:R6"/>
    <mergeCell ref="D7:R7"/>
    <mergeCell ref="B49:J49"/>
    <mergeCell ref="B50:J50"/>
    <mergeCell ref="B51:J51"/>
    <mergeCell ref="B41:J41"/>
    <mergeCell ref="B42:J42"/>
    <mergeCell ref="B43:J43"/>
    <mergeCell ref="B44:J44"/>
    <mergeCell ref="B45:J45"/>
    <mergeCell ref="K45:S45"/>
    <mergeCell ref="K46:S46"/>
    <mergeCell ref="B46:J46"/>
    <mergeCell ref="B47:J47"/>
    <mergeCell ref="B48:J48"/>
    <mergeCell ref="K41:S41"/>
    <mergeCell ref="K42:S42"/>
    <mergeCell ref="K43:S43"/>
    <mergeCell ref="K44:S44"/>
    <mergeCell ref="K53:S53"/>
    <mergeCell ref="K54:S54"/>
    <mergeCell ref="C9:R9"/>
    <mergeCell ref="K40:S40"/>
    <mergeCell ref="B39:J39"/>
    <mergeCell ref="K39:S39"/>
    <mergeCell ref="K47:S47"/>
    <mergeCell ref="K48:S48"/>
    <mergeCell ref="K49:S49"/>
    <mergeCell ref="K50:S50"/>
    <mergeCell ref="K51:S51"/>
    <mergeCell ref="K52:S52"/>
    <mergeCell ref="B52:J52"/>
    <mergeCell ref="B53:J53"/>
    <mergeCell ref="B54:J54"/>
  </mergeCells>
  <phoneticPr fontId="4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jrsc</dc:creator>
  <cp:lastModifiedBy>VICTOR MANUEL GUAYANAY TORRES</cp:lastModifiedBy>
  <dcterms:created xsi:type="dcterms:W3CDTF">2024-10-28T21:33:41Z</dcterms:created>
  <dcterms:modified xsi:type="dcterms:W3CDTF">2025-04-16T15:29:52Z</dcterms:modified>
</cp:coreProperties>
</file>